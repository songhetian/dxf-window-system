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<sst xmlns="http://schemas.openxmlformats.org/spreadsheetml/2006/main" uniqueCount="47">
  <si>
    <t>表格 1</t>
  </si>
  <si>
    <t>价格表</t>
  </si>
  <si>
    <t>材料</t>
  </si>
  <si>
    <t>单价</t>
  </si>
  <si>
    <t>备注</t>
  </si>
  <si>
    <t>玻璃厚度8mm及以上玻璃使均质处理。</t>
  </si>
  <si>
    <t>副框</t>
  </si>
  <si>
    <t>墙身图上外墙做法为铝板，暂不考虑窗台板。</t>
  </si>
  <si>
    <t>铝锭价格</t>
  </si>
  <si>
    <t>2026.3.16</t>
  </si>
  <si>
    <t>木索立柱规格：60*300mm,两端横梁60*295mm,中间横梁60*240mm</t>
  </si>
  <si>
    <t>普铝加工费</t>
  </si>
  <si>
    <t>粉末喷涂</t>
  </si>
  <si>
    <t>幕墙普铝加工费</t>
  </si>
  <si>
    <t>白料加工费</t>
  </si>
  <si>
    <t>晶玻</t>
  </si>
  <si>
    <t>集成材</t>
  </si>
  <si>
    <t>红橡木</t>
  </si>
  <si>
    <t>5LOW-E单银</t>
  </si>
  <si>
    <t>单玻钢化</t>
  </si>
  <si>
    <t>指接材</t>
  </si>
  <si>
    <t>6LOW-E单银</t>
  </si>
  <si>
    <t>5Low-e+16Ar+5+16Ar+5Low-e</t>
  </si>
  <si>
    <t>台玻原片，泰诺风暖边</t>
  </si>
  <si>
    <t>8LOW-E单银</t>
  </si>
  <si>
    <t>6Low-e+12Ar+6+12Ar+6Low-e</t>
  </si>
  <si>
    <t>10LOW-E单银</t>
  </si>
  <si>
    <t>8Low-e+12Ar+8+12Ar+8Low-e</t>
  </si>
  <si>
    <t>台玻原片，泰诺风暖边,均质</t>
  </si>
  <si>
    <t>12LOW-E单银</t>
  </si>
  <si>
    <t>10Low-e+12Ar+10+12Ar+10Low-e</t>
  </si>
  <si>
    <t>12Low-e+12Ar+12+12Ar+12Low-e</t>
  </si>
  <si>
    <t>5+0.38pvb+5Low-e+12Ar+12+12Ar+12Low-e</t>
  </si>
  <si>
    <t>内开内倒窗</t>
  </si>
  <si>
    <t>诺托明合页</t>
  </si>
  <si>
    <t>单外开门</t>
  </si>
  <si>
    <t>0.38PVB</t>
  </si>
  <si>
    <t>对外开门</t>
  </si>
  <si>
    <t>16A</t>
  </si>
  <si>
    <t>密封胶</t>
  </si>
  <si>
    <t>500ml</t>
  </si>
  <si>
    <t>12A</t>
  </si>
  <si>
    <t>发泡胶</t>
  </si>
  <si>
    <t>750ml</t>
  </si>
  <si>
    <t>氩气</t>
  </si>
  <si>
    <t>固定玻璃纤维纱窗</t>
  </si>
  <si>
    <t>均质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</si>
</sst>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6"/>
      <color indexed="8"/>
      <name val="SimSun"/>
    </font>
    <font>
      <b val="1"/>
      <sz val="10"/>
      <color indexed="8"/>
      <name val="Helvetica Neue"/>
    </font>
    <font>
      <sz val="10"/>
      <color indexed="8"/>
      <name val="黑体"/>
    </font>
    <font>
      <sz val="11"/>
      <color indexed="8"/>
      <name val="SimSun"/>
    </font>
    <font>
      <sz val="10"/>
      <color indexed="8"/>
      <name val="SimSu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0" fontId="3" fillId="2" borderId="2" applyNumberFormat="0" applyFont="1" applyFill="1" applyBorder="1" applyAlignment="1" applyProtection="0">
      <alignment vertical="top" wrapText="1"/>
    </xf>
    <xf numFmtId="1" fontId="3" fillId="2" borderId="2" applyNumberFormat="1" applyFont="1" applyFill="1" applyBorder="1" applyAlignment="1" applyProtection="0">
      <alignment vertical="top" wrapText="1"/>
    </xf>
    <xf numFmtId="49" fontId="4" fillId="3" borderId="3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4" fillId="4" borderId="3" applyNumberFormat="1" applyFont="1" applyFill="1" applyBorder="1" applyAlignment="1" applyProtection="0">
      <alignment horizontal="center" vertical="top" wrapText="1"/>
    </xf>
    <xf numFmtId="0" fontId="4" borderId="3" applyNumberFormat="0" applyFont="1" applyFill="0" applyBorder="1" applyAlignment="1" applyProtection="0">
      <alignment horizontal="center"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4" borderId="3" applyNumberFormat="1" applyFont="1" applyFill="0" applyBorder="1" applyAlignment="1" applyProtection="0">
      <alignment horizontal="center" vertical="top" wrapText="1"/>
    </xf>
    <xf numFmtId="49" fontId="4" borderId="3" applyNumberFormat="1" applyFont="1" applyFill="0" applyBorder="1" applyAlignment="1" applyProtection="0">
      <alignment horizontal="center" vertical="top" wrapText="1"/>
    </xf>
    <xf numFmtId="0" fontId="5" borderId="6" applyNumberFormat="1" applyFont="1" applyFill="0" applyBorder="1" applyAlignment="1" applyProtection="0">
      <alignment horizontal="center" vertical="top" wrapText="1"/>
    </xf>
    <xf numFmtId="49" fontId="4" fillId="5" borderId="3" applyNumberFormat="1" applyFont="1" applyFill="1" applyBorder="1" applyAlignment="1" applyProtection="0">
      <alignment horizontal="center" vertical="center"/>
    </xf>
    <xf numFmtId="0" fontId="4" fillId="5" borderId="3" applyNumberFormat="1" applyFont="1" applyFill="1" applyBorder="1" applyAlignment="1" applyProtection="0">
      <alignment horizontal="center" vertical="center"/>
    </xf>
    <xf numFmtId="1" fontId="5" borderId="7" applyNumberFormat="1" applyFont="1" applyFill="0" applyBorder="1" applyAlignment="1" applyProtection="0">
      <alignment horizontal="center" vertical="top" wrapText="1"/>
    </xf>
    <xf numFmtId="49" fontId="6" fillId="6" borderId="3" applyNumberFormat="1" applyFont="1" applyFill="1" applyBorder="1" applyAlignment="1" applyProtection="0">
      <alignment horizontal="center" vertical="center"/>
    </xf>
    <xf numFmtId="1" fontId="4" borderId="3" applyNumberFormat="1" applyFont="1" applyFill="0" applyBorder="1" applyAlignment="1" applyProtection="0">
      <alignment horizontal="center" vertical="top" wrapText="1"/>
    </xf>
    <xf numFmtId="1" fontId="5" borderId="6" applyNumberFormat="1" applyFont="1" applyFill="0" applyBorder="1" applyAlignment="1" applyProtection="0">
      <alignment horizontal="center" vertical="top" wrapText="1"/>
    </xf>
    <xf numFmtId="0" fontId="5" borderId="7" applyNumberFormat="1" applyFont="1" applyFill="0" applyBorder="1" applyAlignment="1" applyProtection="0">
      <alignment horizontal="center" vertical="top" wrapText="1"/>
    </xf>
    <xf numFmtId="0" fontId="6" fillId="4" borderId="3" applyNumberFormat="0" applyFont="1" applyFill="1" applyBorder="1" applyAlignment="1" applyProtection="0">
      <alignment horizontal="center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5" borderId="3" applyNumberFormat="0" applyFont="1" applyFill="0" applyBorder="1" applyAlignment="1" applyProtection="0">
      <alignment horizontal="center" vertical="top" wrapText="1"/>
    </xf>
    <xf numFmtId="0" fontId="5" borderId="7" applyNumberFormat="0" applyFont="1" applyFill="0" applyBorder="1" applyAlignment="1" applyProtection="0">
      <alignment horizontal="center" vertical="top" wrapText="1"/>
    </xf>
    <xf numFmtId="0" fontId="4" fillId="4" borderId="3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acd78d"/>
      <rgbColor rgb="ffdbdbdb"/>
      <rgbColor rgb="ffe3f1d9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</row>
    <row r="2" ht="24.65" customHeight="1">
      <c r="A2" t="s" s="3">
        <v>1</v>
      </c>
      <c r="B2" s="4"/>
      <c r="C2" s="4"/>
      <c r="D2" s="5"/>
      <c r="E2" s="6">
        <v>1127.700155657110</v>
      </c>
      <c r="F2" s="5"/>
      <c r="G2" s="5"/>
      <c r="H2" s="5"/>
    </row>
    <row r="3" ht="51.25" customHeight="1">
      <c r="A3" t="s" s="7">
        <v>2</v>
      </c>
      <c r="B3" t="s" s="7">
        <v>3</v>
      </c>
      <c r="C3" t="s" s="7">
        <v>4</v>
      </c>
      <c r="D3" s="8"/>
      <c r="E3" s="9"/>
      <c r="F3" t="s" s="10">
        <v>5</v>
      </c>
      <c r="G3" s="9"/>
      <c r="H3" s="9"/>
    </row>
    <row r="4" ht="51" customHeight="1">
      <c r="A4" t="s" s="11">
        <v>6</v>
      </c>
      <c r="B4" s="12"/>
      <c r="C4" s="12"/>
      <c r="D4" s="13"/>
      <c r="E4" s="14"/>
      <c r="F4" t="s" s="15">
        <v>7</v>
      </c>
      <c r="G4" s="14"/>
      <c r="H4" s="14"/>
    </row>
    <row r="5" ht="65.55" customHeight="1">
      <c r="A5" t="s" s="11">
        <v>8</v>
      </c>
      <c r="B5" s="16" cm="1">
        <f t="array" ref="B5">D5*1.05</f>
        <v>26019</v>
      </c>
      <c r="C5" t="s" s="17">
        <v>9</v>
      </c>
      <c r="D5" s="18">
        <v>24780</v>
      </c>
      <c r="E5" s="14"/>
      <c r="F5" t="s" s="15">
        <v>10</v>
      </c>
      <c r="G5" s="14"/>
      <c r="H5" s="14"/>
    </row>
    <row r="6" ht="20.7" customHeight="1">
      <c r="A6" t="s" s="19">
        <v>11</v>
      </c>
      <c r="B6" s="20">
        <v>4200</v>
      </c>
      <c r="C6" t="s" s="19">
        <v>12</v>
      </c>
      <c r="D6" s="13"/>
      <c r="E6" s="14"/>
      <c r="F6" s="14"/>
      <c r="G6" s="14"/>
      <c r="H6" s="14"/>
    </row>
    <row r="7" ht="20.7" customHeight="1">
      <c r="A7" t="s" s="19">
        <v>13</v>
      </c>
      <c r="B7" s="20">
        <v>5200</v>
      </c>
      <c r="C7" t="s" s="19">
        <v>12</v>
      </c>
      <c r="D7" s="13"/>
      <c r="E7" s="14"/>
      <c r="F7" s="14"/>
      <c r="G7" s="14"/>
      <c r="H7" s="14"/>
    </row>
    <row r="8" ht="23" customHeight="1">
      <c r="A8" t="s" s="19">
        <v>14</v>
      </c>
      <c r="B8" s="20">
        <v>2900</v>
      </c>
      <c r="C8" t="s" s="19">
        <v>12</v>
      </c>
      <c r="D8" s="13"/>
      <c r="E8" s="14"/>
      <c r="F8" t="s" s="15">
        <v>15</v>
      </c>
      <c r="G8" s="14"/>
      <c r="H8" s="14"/>
    </row>
    <row r="9" ht="23" customHeight="1">
      <c r="A9" t="s" s="11">
        <v>16</v>
      </c>
      <c r="B9" s="16">
        <v>9500</v>
      </c>
      <c r="C9" t="s" s="17">
        <v>17</v>
      </c>
      <c r="D9" s="13"/>
      <c r="E9" s="14"/>
      <c r="F9" t="s" s="15">
        <v>18</v>
      </c>
      <c r="G9" t="s" s="15">
        <v>19</v>
      </c>
      <c r="H9" s="21">
        <v>48.553816532045</v>
      </c>
    </row>
    <row r="10" ht="23" customHeight="1">
      <c r="A10" t="s" s="11">
        <v>20</v>
      </c>
      <c r="B10" s="16">
        <v>10000</v>
      </c>
      <c r="C10" t="s" s="17">
        <v>17</v>
      </c>
      <c r="D10" s="13"/>
      <c r="E10" s="14"/>
      <c r="F10" t="s" s="15">
        <v>21</v>
      </c>
      <c r="G10" t="s" s="15">
        <v>19</v>
      </c>
      <c r="H10" s="21">
        <v>63.3158540729048</v>
      </c>
    </row>
    <row r="11" ht="37" customHeight="1">
      <c r="A11" t="s" s="22">
        <v>22</v>
      </c>
      <c r="B11" s="23" cm="1">
        <f t="array" ref="B11">D11+8</f>
        <v>265.127434888104</v>
      </c>
      <c r="C11" t="s" s="17">
        <v>23</v>
      </c>
      <c r="D11" s="24" cm="1">
        <f t="array" ref="D11">H9*2+H14+H20*2+H22*2</f>
        <v>257.127434888104</v>
      </c>
      <c r="E11" s="14"/>
      <c r="F11" t="s" s="15">
        <v>24</v>
      </c>
      <c r="G11" t="s" s="15">
        <v>19</v>
      </c>
      <c r="H11" s="21">
        <v>91.6959261910897</v>
      </c>
    </row>
    <row r="12" ht="37" customHeight="1">
      <c r="A12" t="s" s="22">
        <v>25</v>
      </c>
      <c r="B12" s="23" cm="1">
        <f t="array" ref="B12">D12+8</f>
        <v>287.780413561782</v>
      </c>
      <c r="C12" t="s" s="17">
        <v>23</v>
      </c>
      <c r="D12" s="24" cm="1">
        <f t="array" ref="D12">H10*2+H15+H21*2+H22*2</f>
        <v>279.780413561782</v>
      </c>
      <c r="E12" s="14"/>
      <c r="F12" t="s" s="15">
        <v>26</v>
      </c>
      <c r="G12" t="s" s="15">
        <v>19</v>
      </c>
      <c r="H12" s="21">
        <v>134.324660463391</v>
      </c>
    </row>
    <row r="13" ht="37" customHeight="1">
      <c r="A13" t="s" s="22">
        <v>27</v>
      </c>
      <c r="B13" s="23" cm="1">
        <f t="array" ref="B13">D13+8</f>
        <v>408.233776298265</v>
      </c>
      <c r="C13" t="s" s="17">
        <v>28</v>
      </c>
      <c r="D13" s="24" cm="1">
        <f t="array" ref="D13">H11*2+H16+H21*2+H22*2+H23*24</f>
        <v>400.233776298265</v>
      </c>
      <c r="E13" s="14"/>
      <c r="F13" t="s" s="15">
        <v>29</v>
      </c>
      <c r="G13" t="s" s="15">
        <v>19</v>
      </c>
      <c r="H13" s="21">
        <v>143.743743498231</v>
      </c>
    </row>
    <row r="14" ht="37" customHeight="1">
      <c r="A14" t="s" s="22">
        <v>30</v>
      </c>
      <c r="B14" s="23" cm="1">
        <f t="array" ref="B14">D14+8</f>
        <v>523.806212461840</v>
      </c>
      <c r="C14" t="s" s="17">
        <v>28</v>
      </c>
      <c r="D14" s="24" cm="1">
        <f t="array" ref="D14">H12*2+H17+H21*2+H22*2+H23*30</f>
        <v>515.806212461840</v>
      </c>
      <c r="E14" s="14"/>
      <c r="F14" s="25">
        <v>5</v>
      </c>
      <c r="G14" t="s" s="15">
        <v>19</v>
      </c>
      <c r="H14" s="21">
        <v>29.8147437908453</v>
      </c>
    </row>
    <row r="15" ht="37" customHeight="1">
      <c r="A15" t="s" s="22">
        <v>31</v>
      </c>
      <c r="B15" s="23" cm="1">
        <f t="array" ref="B15">D15+18</f>
        <v>574.021868729953</v>
      </c>
      <c r="C15" t="s" s="17">
        <v>28</v>
      </c>
      <c r="D15" s="24" cm="1">
        <f t="array" ref="D15">H13*2+H18+H21*2+H22*2+H23*36</f>
        <v>556.021868729953</v>
      </c>
      <c r="E15" s="14"/>
      <c r="F15" s="25">
        <v>6</v>
      </c>
      <c r="G15" t="s" s="15">
        <v>19</v>
      </c>
      <c r="H15" s="21">
        <v>37.6793814548258</v>
      </c>
    </row>
    <row r="16" ht="37" customHeight="1">
      <c r="A16" t="s" s="22">
        <v>32</v>
      </c>
      <c r="B16" s="23" cm="1">
        <f t="array" ref="B16">D16+18</f>
        <v>514.646685554613</v>
      </c>
      <c r="C16" t="s" s="17">
        <v>28</v>
      </c>
      <c r="D16" s="24" cm="1">
        <f t="array" ref="D16">H9+H14+H19+H13+H18+H21*2+H22*2+H23*24</f>
        <v>496.646685554613</v>
      </c>
      <c r="E16" s="14"/>
      <c r="F16" s="25">
        <v>8</v>
      </c>
      <c r="G16" t="s" s="15">
        <v>19</v>
      </c>
      <c r="H16" s="21">
        <v>53.3725999549391</v>
      </c>
    </row>
    <row r="17" ht="23" customHeight="1">
      <c r="A17" s="26"/>
      <c r="B17" s="12"/>
      <c r="C17" s="12"/>
      <c r="D17" s="13"/>
      <c r="E17" s="14"/>
      <c r="F17" s="25">
        <v>10</v>
      </c>
      <c r="G17" t="s" s="15">
        <v>19</v>
      </c>
      <c r="H17" s="21">
        <v>71.6875675739121</v>
      </c>
    </row>
    <row r="18" ht="23" customHeight="1">
      <c r="A18" t="s" s="11">
        <v>33</v>
      </c>
      <c r="B18" s="16">
        <v>246</v>
      </c>
      <c r="C18" t="s" s="17">
        <v>34</v>
      </c>
      <c r="D18" s="13"/>
      <c r="E18" s="14"/>
      <c r="F18" s="25">
        <v>12</v>
      </c>
      <c r="G18" t="s" s="15">
        <v>19</v>
      </c>
      <c r="H18" s="21">
        <v>81.0650577723453</v>
      </c>
    </row>
    <row r="19" ht="23" customHeight="1">
      <c r="A19" t="s" s="11">
        <v>35</v>
      </c>
      <c r="B19" s="16">
        <v>965</v>
      </c>
      <c r="C19" t="s" s="17">
        <v>34</v>
      </c>
      <c r="D19" s="13"/>
      <c r="E19" s="14"/>
      <c r="F19" t="s" s="27">
        <v>36</v>
      </c>
      <c r="G19" s="14"/>
      <c r="H19" s="21">
        <v>30</v>
      </c>
    </row>
    <row r="20" ht="23" customHeight="1">
      <c r="A20" t="s" s="11">
        <v>37</v>
      </c>
      <c r="B20" s="16">
        <v>1806</v>
      </c>
      <c r="C20" t="s" s="17">
        <v>34</v>
      </c>
      <c r="D20" s="13"/>
      <c r="E20" s="14"/>
      <c r="F20" t="s" s="27">
        <v>38</v>
      </c>
      <c r="G20" s="14"/>
      <c r="H20" s="21">
        <v>59.6814763850052</v>
      </c>
    </row>
    <row r="21" ht="23" customHeight="1">
      <c r="A21" t="s" s="11">
        <v>39</v>
      </c>
      <c r="B21" s="16">
        <v>13</v>
      </c>
      <c r="C21" t="s" s="17">
        <v>40</v>
      </c>
      <c r="D21" s="13"/>
      <c r="E21" s="14"/>
      <c r="F21" t="s" s="27">
        <v>41</v>
      </c>
      <c r="G21" s="14"/>
      <c r="H21" s="21">
        <v>52.3136093489941</v>
      </c>
    </row>
    <row r="22" ht="23" customHeight="1">
      <c r="A22" t="s" s="11">
        <v>42</v>
      </c>
      <c r="B22" s="16">
        <v>23</v>
      </c>
      <c r="C22" t="s" s="17">
        <v>43</v>
      </c>
      <c r="D22" s="13"/>
      <c r="E22" s="14"/>
      <c r="F22" t="s" s="27">
        <v>44</v>
      </c>
      <c r="G22" s="14"/>
      <c r="H22" s="21">
        <v>5.42105263157895</v>
      </c>
    </row>
    <row r="23" ht="23" customHeight="1">
      <c r="A23" t="s" s="11">
        <v>45</v>
      </c>
      <c r="B23" s="12"/>
      <c r="C23" s="28"/>
      <c r="D23" s="13"/>
      <c r="E23" s="29"/>
      <c r="F23" t="s" s="27">
        <v>46</v>
      </c>
      <c r="G23" s="29"/>
      <c r="H23" s="25">
        <v>2</v>
      </c>
    </row>
    <row r="24" ht="21" customHeight="1">
      <c r="A24" s="30"/>
      <c r="B24" s="12"/>
      <c r="C24" s="28"/>
      <c r="D24" s="13"/>
      <c r="E24" s="14"/>
      <c r="F24" s="14"/>
      <c r="G24" s="14"/>
      <c r="H24" s="14"/>
    </row>
  </sheetData>
  <mergeCells count="2">
    <mergeCell ref="A1:H1"/>
    <mergeCell ref="A2:C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